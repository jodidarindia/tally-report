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Read Me" sheetId="1" state="visible" r:id="rId1"/>
    <sheet xmlns:r="http://schemas.openxmlformats.org/officeDocument/2006/relationships" name="1. Assumptions" sheetId="2" state="visible" r:id="rId2"/>
    <sheet xmlns:r="http://schemas.openxmlformats.org/officeDocument/2006/relationships" name="2. P&amp;L Summary" sheetId="3" state="visible" r:id="rId3"/>
    <sheet xmlns:r="http://schemas.openxmlformats.org/officeDocument/2006/relationships" name="3. Revenue Build" sheetId="4" state="visible" r:id="rId4"/>
    <sheet xmlns:r="http://schemas.openxmlformats.org/officeDocument/2006/relationships" name="4. Cash Flow &amp; Fundraise" sheetId="5" state="visible" r:id="rId5"/>
    <sheet xmlns:r="http://schemas.openxmlformats.org/officeDocument/2006/relationships" name="5. Unit Economics" sheetId="6" state="visible" r:id="rId6"/>
    <sheet xmlns:r="http://schemas.openxmlformats.org/officeDocument/2006/relationships" name="6. Cap Table" sheetId="7" state="visible" r:id="rId7"/>
    <sheet xmlns:r="http://schemas.openxmlformats.org/officeDocument/2006/relationships" name="7. Exit &amp; 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%&quot;"/>
    <numFmt numFmtId="165" formatCode="0.00&quot;%&quot;"/>
    <numFmt numFmtId="166" formatCode="0.0"/>
    <numFmt numFmtId="167" formatCode="0.0&quot;×&quot;"/>
    <numFmt numFmtId="168" formatCode="0.00&quot;×&quot;"/>
  </numFmts>
  <fonts count="14">
    <font>
      <name val="Calibri"/>
      <family val="2"/>
      <color theme="1"/>
      <sz val="11"/>
      <scheme val="minor"/>
    </font>
    <font>
      <b val="1"/>
      <color rgb="000F1B4C"/>
      <sz val="18"/>
    </font>
    <font>
      <color rgb="0064748B"/>
      <sz val="11"/>
    </font>
    <font>
      <b val="1"/>
      <color rgb="002563EB"/>
      <sz val="14"/>
    </font>
    <font>
      <color rgb="000F172A"/>
      <sz val="11"/>
    </font>
    <font>
      <b val="1"/>
      <color rgb="000F1B4C"/>
      <sz val="11"/>
    </font>
    <font>
      <b val="1"/>
      <color rgb="00EF4444"/>
      <sz val="10"/>
    </font>
    <font>
      <b val="1"/>
      <color rgb="000F1B4C"/>
      <sz val="16"/>
    </font>
    <font>
      <b val="1"/>
      <color rgb="002563EB"/>
      <sz val="12"/>
    </font>
    <font>
      <color rgb="0064748B"/>
      <sz val="10"/>
    </font>
    <font>
      <b val="1"/>
      <color rgb="00FFFFFF"/>
      <sz val="10"/>
    </font>
    <font>
      <b val="1"/>
      <color rgb="00EF4444"/>
      <sz val="11"/>
    </font>
    <font>
      <b val="1"/>
      <color rgb="0010B98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0F1B4C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3" fontId="5" fillId="2" borderId="0" pivotButton="0" quotePrefix="0" xfId="0"/>
    <xf numFmtId="164" fontId="5" fillId="2" borderId="0" pivotButton="0" quotePrefix="0" xfId="0"/>
    <xf numFmtId="0" fontId="5" fillId="0" borderId="0" applyAlignment="1" pivotButton="0" quotePrefix="0" xfId="0">
      <alignment horizontal="center"/>
    </xf>
    <xf numFmtId="2" fontId="5" fillId="2" borderId="0" pivotButton="0" quotePrefix="0" xfId="0"/>
    <xf numFmtId="165" fontId="5" fillId="2" borderId="0" pivotButton="0" quotePrefix="0" xfId="0"/>
    <xf numFmtId="166" fontId="5" fillId="2" borderId="0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0" fontId="5" fillId="4" borderId="0" pivotButton="0" quotePrefix="0" xfId="0"/>
    <xf numFmtId="3" fontId="0" fillId="4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4" fontId="0" fillId="4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5" fillId="2" borderId="0" pivotButton="0" quotePrefix="0" xfId="0"/>
    <xf numFmtId="4" fontId="11" fillId="2" borderId="1" applyAlignment="1" pivotButton="0" quotePrefix="0" xfId="0">
      <alignment horizontal="right"/>
    </xf>
    <xf numFmtId="4" fontId="12" fillId="2" borderId="1" applyAlignment="1" pivotButton="0" quotePrefix="0" xfId="0">
      <alignment horizontal="right"/>
    </xf>
    <xf numFmtId="4" fontId="5" fillId="2" borderId="1" applyAlignment="1" pivotButton="0" quotePrefix="0" xfId="0">
      <alignment horizontal="right"/>
    </xf>
    <xf numFmtId="0" fontId="5" fillId="4" borderId="1" pivotButton="0" quotePrefix="0" xfId="0"/>
    <xf numFmtId="0" fontId="0" fillId="4" borderId="1" applyAlignment="1" pivotButton="0" quotePrefix="0" xfId="0">
      <alignment horizontal="right"/>
    </xf>
    <xf numFmtId="0" fontId="2" fillId="4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right"/>
    </xf>
    <xf numFmtId="0" fontId="2" fillId="0" borderId="1" pivotButton="0" quotePrefix="0" xfId="0"/>
    <xf numFmtId="10" fontId="0" fillId="4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0" fontId="13" fillId="3" borderId="0" pivotButton="0" quotePrefix="0" xfId="0"/>
    <xf numFmtId="10" fontId="13" fillId="3" borderId="0" applyAlignment="1" pivotButton="0" quotePrefix="0" xfId="0">
      <alignment horizontal="right"/>
    </xf>
    <xf numFmtId="0" fontId="0" fillId="3" borderId="0" pivotButton="0" quotePrefix="0" xfId="0"/>
    <xf numFmtId="0" fontId="5" fillId="4" borderId="1" applyAlignment="1" pivotButton="0" quotePrefix="0" xfId="0">
      <alignment horizontal="left"/>
    </xf>
    <xf numFmtId="167" fontId="0" fillId="4" borderId="1" applyAlignment="1" pivotButton="0" quotePrefix="0" xfId="0">
      <alignment horizontal="right"/>
    </xf>
    <xf numFmtId="2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167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EBITDA (₹ Cr)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'2. P&amp;L Summary'!$B$3:$G$3</f>
            </numRef>
          </cat>
          <val>
            <numRef>
              <f>'2. P&amp;L Summary'!$B$6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'2. P&amp;L Summary'!$B$3:$G$3</f>
            </numRef>
          </cat>
          <val>
            <numRef>
              <f>'2. P&amp;L Summary'!$C$6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'2. P&amp;L Summary'!$B$3:$G$3</f>
            </numRef>
          </cat>
          <val>
            <numRef>
              <f>'2. P&amp;L Summary'!$D$6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'2. P&amp;L Summary'!$B$3:$G$3</f>
            </numRef>
          </cat>
          <val>
            <numRef>
              <f>'2. P&amp;L Summary'!$E$6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'2. P&amp;L Summary'!$B$3:$G$3</f>
            </numRef>
          </cat>
          <val>
            <numRef>
              <f>'2. P&amp;L Summary'!$F$6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'2. P&amp;L Summary'!$B$3:$G$3</f>
            </numRef>
          </cat>
          <val>
            <numRef>
              <f>'2. P&amp;L Summary'!$G$6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'2. P&amp;L Summary'!$B$3:$G$3</f>
            </numRef>
          </cat>
          <val>
            <numRef>
              <f>'2. P&amp;L Summary'!$B$13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'2. P&amp;L Summary'!$B$3:$G$3</f>
            </numRef>
          </cat>
          <val>
            <numRef>
              <f>'2. P&amp;L Summary'!$C$13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'2. P&amp;L Summary'!$B$3:$G$3</f>
            </numRef>
          </cat>
          <val>
            <numRef>
              <f>'2. P&amp;L Summary'!$D$13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'2. P&amp;L Summary'!$B$3:$G$3</f>
            </numRef>
          </cat>
          <val>
            <numRef>
              <f>'2. P&amp;L Summary'!$E$13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cat>
            <numRef>
              <f>'2. P&amp;L Summary'!$B$3:$G$3</f>
            </numRef>
          </cat>
          <val>
            <numRef>
              <f>'2. P&amp;L Summary'!$F$13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cat>
            <numRef>
              <f>'2. P&amp;L Summary'!$B$3:$G$3</f>
            </numRef>
          </cat>
          <val>
            <numRef>
              <f>'2. P&amp;L Summary'!$G$13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Financial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Cr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F1B4C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FLOWRA · Financial Model (v1) · February 2026</t>
        </is>
      </c>
    </row>
    <row r="3">
      <c r="A3" s="2" t="inlineStr">
        <is>
          <t>Prepared by JODIDAR INDIA · Founder: Ankit Sarawgi</t>
        </is>
      </c>
    </row>
    <row r="5">
      <c r="A5" s="3" t="inlineStr">
        <is>
          <t>How to use this workbook</t>
        </is>
      </c>
    </row>
    <row r="6" ht="26" customHeight="1">
      <c r="A6" s="4" t="inlineStr">
        <is>
          <t>1. Open tab '1. Assumptions' → edit any yellow cell (pricing, plan mix, headcount, marketing spend, etc.).</t>
        </is>
      </c>
    </row>
    <row r="7" ht="26" customHeight="1">
      <c r="A7" s="4" t="inlineStr">
        <is>
          <t>2. Every other tab is derived from those inputs. Changes propagate automatically (Revenue → P&amp;L → Cash Flow → Cap Table → Exit).</t>
        </is>
      </c>
    </row>
    <row r="8" ht="26" customHeight="1">
      <c r="A8" s="4" t="inlineStr">
        <is>
          <t>3. This model is a static snapshot; if you want to test wildly different scenarios, save a copy first (File → Save as).</t>
        </is>
      </c>
    </row>
    <row r="9" ht="26" customHeight="1">
      <c r="A9" s="4" t="inlineStr">
        <is>
          <t>4. All amounts are in ₹ (INR). 1 Cr = 10,000,000. 1 Lakh = 100,000.</t>
        </is>
      </c>
    </row>
    <row r="10" ht="26" customHeight="1">
      <c r="A10" s="4" t="inlineStr">
        <is>
          <t>5. Financial Year = Apr–Mar (Indian FY). Y1 = FY26-27 = Apr 2026 → Mar 2027.</t>
        </is>
      </c>
    </row>
    <row r="13">
      <c r="A13" s="3" t="inlineStr">
        <is>
          <t>Sheet index</t>
        </is>
      </c>
    </row>
    <row r="14">
      <c r="A14" s="5" t="inlineStr">
        <is>
          <t>1. Assumptions</t>
        </is>
      </c>
      <c r="B14" s="6" t="inlineStr">
        <is>
          <t>All editable inputs — yellow cells.</t>
        </is>
      </c>
    </row>
    <row r="15">
      <c r="A15" s="5" t="inlineStr">
        <is>
          <t>2. P&amp;L Summary</t>
        </is>
      </c>
      <c r="B15" s="6" t="inlineStr">
        <is>
          <t>5-year annual P&amp;L with chart.</t>
        </is>
      </c>
    </row>
    <row r="16">
      <c r="A16" s="5" t="inlineStr">
        <is>
          <t>3. Revenue Build</t>
        </is>
      </c>
      <c r="B16" s="6" t="inlineStr">
        <is>
          <t>Bottom-up: customers × ARPU × months.</t>
        </is>
      </c>
    </row>
    <row r="17">
      <c r="A17" s="5" t="inlineStr">
        <is>
          <t>4. Cash Flow &amp; Fundraise</t>
        </is>
      </c>
      <c r="B17" s="6" t="inlineStr">
        <is>
          <t>Tranches, closing cash, runway warnings.</t>
        </is>
      </c>
    </row>
    <row r="18">
      <c r="A18" s="5" t="inlineStr">
        <is>
          <t>5. Unit Economics</t>
        </is>
      </c>
      <c r="B18" s="6" t="inlineStr">
        <is>
          <t>ARPU / CAC / LTV / payback.</t>
        </is>
      </c>
    </row>
    <row r="19">
      <c r="A19" s="5" t="inlineStr">
        <is>
          <t>6. Cap Table</t>
        </is>
      </c>
      <c r="B19" s="6" t="inlineStr">
        <is>
          <t>Founder / ESOP / Seed / Series A dilution.</t>
        </is>
      </c>
    </row>
    <row r="20">
      <c r="A20" s="5" t="inlineStr">
        <is>
          <t>7. Exit &amp; Returns</t>
        </is>
      </c>
      <c r="B20" s="6" t="inlineStr">
        <is>
          <t>3 scenarios · investor money-multiples.</t>
        </is>
      </c>
    </row>
    <row r="22">
      <c r="A22" s="7" t="inlineStr">
        <is>
          <t>Confidential — for prospective investors only.</t>
        </is>
      </c>
    </row>
  </sheetData>
  <mergeCells count="13">
    <mergeCell ref="A9:H9"/>
    <mergeCell ref="A7:H7"/>
    <mergeCell ref="B16:F16"/>
    <mergeCell ref="B15:F15"/>
    <mergeCell ref="B20:F20"/>
    <mergeCell ref="B17:F17"/>
    <mergeCell ref="A10:H10"/>
    <mergeCell ref="B19:F19"/>
    <mergeCell ref="B14:F14"/>
    <mergeCell ref="A1:H1"/>
    <mergeCell ref="A8:H8"/>
    <mergeCell ref="B18:F1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8" t="inlineStr">
        <is>
          <t>FLOWRA — Financial Model · Assumptions (edit yellow cells)</t>
        </is>
      </c>
    </row>
    <row r="3">
      <c r="A3" s="9" t="inlineStr">
        <is>
          <t>Pricing (₹ / company / month)</t>
        </is>
      </c>
    </row>
    <row r="4">
      <c r="A4" t="inlineStr">
        <is>
          <t>Starter</t>
        </is>
      </c>
      <c r="B4" s="10" t="n">
        <v>833</v>
      </c>
    </row>
    <row r="5">
      <c r="A5" t="inlineStr">
        <is>
          <t>Professional</t>
        </is>
      </c>
      <c r="B5" s="10" t="n">
        <v>2083</v>
      </c>
    </row>
    <row r="6">
      <c r="A6" t="inlineStr">
        <is>
          <t>Enterprise</t>
        </is>
      </c>
      <c r="B6" s="10" t="n">
        <v>3166</v>
      </c>
    </row>
    <row r="8">
      <c r="A8" s="9" t="inlineStr">
        <is>
          <t>Paid plan mix (%)</t>
        </is>
      </c>
    </row>
    <row r="9">
      <c r="A9" t="inlineStr">
        <is>
          <t>Starter</t>
        </is>
      </c>
      <c r="B9" s="11" t="n">
        <v>45</v>
      </c>
    </row>
    <row r="10">
      <c r="A10" t="inlineStr">
        <is>
          <t>Professional</t>
        </is>
      </c>
      <c r="B10" s="11" t="n">
        <v>40</v>
      </c>
    </row>
    <row r="11">
      <c r="A11" t="inlineStr">
        <is>
          <t>Enterprise</t>
        </is>
      </c>
      <c r="B11" s="11" t="n">
        <v>15</v>
      </c>
    </row>
    <row r="13">
      <c r="A13" s="9" t="inlineStr">
        <is>
          <t>Yearly plan (Y1 → Y6)</t>
        </is>
      </c>
    </row>
    <row r="14">
      <c r="A14" t="inlineStr"/>
      <c r="B14" s="12" t="inlineStr">
        <is>
          <t>FY26-27</t>
        </is>
      </c>
      <c r="C14" s="12" t="inlineStr">
        <is>
          <t>FY27-28</t>
        </is>
      </c>
      <c r="D14" s="12" t="inlineStr">
        <is>
          <t>FY28-29</t>
        </is>
      </c>
      <c r="E14" s="12" t="inlineStr">
        <is>
          <t>FY29-30</t>
        </is>
      </c>
      <c r="F14" s="12" t="inlineStr">
        <is>
          <t>FY30-31</t>
        </is>
      </c>
      <c r="G14" s="12" t="inlineStr">
        <is>
          <t>FY31-32</t>
        </is>
      </c>
    </row>
    <row r="15">
      <c r="A15" s="5" t="inlineStr">
        <is>
          <t>Paid customers (year-end)</t>
        </is>
      </c>
      <c r="B15" s="10" t="n">
        <v>100</v>
      </c>
      <c r="C15" s="10" t="n">
        <v>400</v>
      </c>
      <c r="D15" s="10" t="n">
        <v>900</v>
      </c>
      <c r="E15" s="10" t="n">
        <v>1500</v>
      </c>
      <c r="F15" s="10" t="n">
        <v>2000</v>
      </c>
      <c r="G15" s="10" t="n">
        <v>2700</v>
      </c>
    </row>
    <row r="16">
      <c r="A16" s="5" t="inlineStr">
        <is>
          <t>Headcount (year-end)</t>
        </is>
      </c>
      <c r="B16" s="10" t="n">
        <v>12</v>
      </c>
      <c r="C16" s="10" t="n">
        <v>15</v>
      </c>
      <c r="D16" s="10" t="n">
        <v>18</v>
      </c>
      <c r="E16" s="10" t="n">
        <v>22</v>
      </c>
      <c r="F16" s="10" t="n">
        <v>25</v>
      </c>
      <c r="G16" s="10" t="n">
        <v>30</v>
      </c>
    </row>
    <row r="17">
      <c r="A17" s="5" t="inlineStr">
        <is>
          <t>Blended monthly cost/head (₹ Lakh)</t>
        </is>
      </c>
      <c r="B17" s="13" t="n">
        <v>0.66</v>
      </c>
      <c r="C17" s="13" t="n">
        <v>0.75</v>
      </c>
      <c r="D17" s="13" t="n">
        <v>0.8</v>
      </c>
      <c r="E17" s="13" t="n">
        <v>0.85</v>
      </c>
      <c r="F17" s="13" t="n">
        <v>0.9</v>
      </c>
      <c r="G17" s="13" t="n">
        <v>0.95</v>
      </c>
    </row>
    <row r="18">
      <c r="A18" s="5" t="inlineStr">
        <is>
          <t>Marketing spend (₹ Lakh)</t>
        </is>
      </c>
      <c r="B18" s="10" t="n">
        <v>20</v>
      </c>
      <c r="C18" s="10" t="n">
        <v>30</v>
      </c>
      <c r="D18" s="10" t="n">
        <v>40</v>
      </c>
      <c r="E18" s="10" t="n">
        <v>50</v>
      </c>
      <c r="F18" s="10" t="n">
        <v>55</v>
      </c>
      <c r="G18" s="10" t="n">
        <v>60</v>
      </c>
    </row>
    <row r="19">
      <c r="A19" s="5" t="inlineStr">
        <is>
          <t>Infra spend (₹ Lakh)</t>
        </is>
      </c>
      <c r="B19" s="10" t="n">
        <v>12</v>
      </c>
      <c r="C19" s="10" t="n">
        <v>20</v>
      </c>
      <c r="D19" s="10" t="n">
        <v>30</v>
      </c>
      <c r="E19" s="10" t="n">
        <v>42</v>
      </c>
      <c r="F19" s="10" t="n">
        <v>55</v>
      </c>
      <c r="G19" s="10" t="n">
        <v>70</v>
      </c>
    </row>
    <row r="20">
      <c r="A20" s="5" t="inlineStr">
        <is>
          <t>Other opex (₹ Lakh)</t>
        </is>
      </c>
      <c r="B20" s="10" t="n">
        <v>15</v>
      </c>
      <c r="C20" s="10" t="n">
        <v>20</v>
      </c>
      <c r="D20" s="10" t="n">
        <v>25</v>
      </c>
      <c r="E20" s="10" t="n">
        <v>32</v>
      </c>
      <c r="F20" s="10" t="n">
        <v>40</v>
      </c>
      <c r="G20" s="10" t="n">
        <v>48</v>
      </c>
    </row>
    <row r="21">
      <c r="A21" s="5" t="inlineStr">
        <is>
          <t>CAC (₹)</t>
        </is>
      </c>
      <c r="B21" s="10" t="n">
        <v>5000</v>
      </c>
      <c r="C21" s="10" t="n">
        <v>6000</v>
      </c>
      <c r="D21" s="10" t="n">
        <v>7000</v>
      </c>
      <c r="E21" s="10" t="n">
        <v>8000</v>
      </c>
      <c r="F21" s="10" t="n">
        <v>8000</v>
      </c>
      <c r="G21" s="10" t="n">
        <v>8000</v>
      </c>
    </row>
    <row r="23">
      <c r="A23" s="9" t="inlineStr">
        <is>
          <t>Other constants</t>
        </is>
      </c>
    </row>
    <row r="24">
      <c r="A24" t="inlineStr">
        <is>
          <t>Monthly churn (%)</t>
        </is>
      </c>
      <c r="B24" s="14" t="n">
        <v>2.5</v>
      </c>
    </row>
    <row r="25">
      <c r="A25" t="inlineStr">
        <is>
          <t>Gross margin (%)</t>
        </is>
      </c>
      <c r="B25" s="11" t="n">
        <v>82</v>
      </c>
    </row>
    <row r="26">
      <c r="A26" t="inlineStr">
        <is>
          <t>ARPU upsell per year (%)</t>
        </is>
      </c>
      <c r="B26" s="11" t="n">
        <v>6</v>
      </c>
    </row>
    <row r="27">
      <c r="A27" t="inlineStr">
        <is>
          <t>Seed amount (₹ Cr)</t>
        </is>
      </c>
      <c r="B27" s="13" t="n">
        <v>2.5</v>
      </c>
    </row>
    <row r="28">
      <c r="A28" t="inlineStr">
        <is>
          <t>Series A amount (₹ Cr)</t>
        </is>
      </c>
      <c r="B28" s="13" t="n">
        <v>6</v>
      </c>
    </row>
    <row r="29">
      <c r="A29" t="inlineStr">
        <is>
          <t>Seed dilution (%)</t>
        </is>
      </c>
      <c r="B29" s="11" t="n">
        <v>18</v>
      </c>
    </row>
    <row r="30">
      <c r="A30" t="inlineStr">
        <is>
          <t>Series A dilution (%)</t>
        </is>
      </c>
      <c r="B30" s="11" t="n">
        <v>18</v>
      </c>
    </row>
    <row r="31">
      <c r="A31" t="inlineStr">
        <is>
          <t>Exit multiple × ARR</t>
        </is>
      </c>
      <c r="B31" s="15" t="n">
        <v>5</v>
      </c>
    </row>
    <row r="34">
      <c r="A34" s="16" t="inlineStr">
        <is>
          <t>↑ Edit any yellow cell — the Revenue, Costs, P&amp;L, Cash-flow and Cap-table sheets update automatically.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8" t="inlineStr">
        <is>
          <t>5-Year P&amp;L Summary (₹ Cr)</t>
        </is>
      </c>
    </row>
    <row r="3">
      <c r="A3" s="17" t="inlineStr">
        <is>
          <t>Line item</t>
        </is>
      </c>
      <c r="B3" s="17" t="inlineStr">
        <is>
          <t>FY26-27</t>
        </is>
      </c>
      <c r="C3" s="17" t="inlineStr">
        <is>
          <t>FY27-28</t>
        </is>
      </c>
      <c r="D3" s="17" t="inlineStr">
        <is>
          <t>FY28-29</t>
        </is>
      </c>
      <c r="E3" s="17" t="inlineStr">
        <is>
          <t>FY29-30</t>
        </is>
      </c>
      <c r="F3" s="17" t="inlineStr">
        <is>
          <t>FY30-31</t>
        </is>
      </c>
      <c r="G3" s="17" t="inlineStr">
        <is>
          <t>FY31-32</t>
        </is>
      </c>
    </row>
    <row r="4">
      <c r="A4" s="18" t="inlineStr">
        <is>
          <t>Paying customers (end)</t>
        </is>
      </c>
      <c r="B4" s="19" t="n">
        <v>100</v>
      </c>
      <c r="C4" s="19" t="n">
        <v>400</v>
      </c>
      <c r="D4" s="19" t="n">
        <v>900</v>
      </c>
      <c r="E4" s="19" t="n">
        <v>1500</v>
      </c>
      <c r="F4" s="19" t="n">
        <v>2000</v>
      </c>
      <c r="G4" s="19" t="n">
        <v>2700</v>
      </c>
    </row>
    <row r="5">
      <c r="A5" s="5" t="inlineStr">
        <is>
          <t>ARR (₹ Cr, end)</t>
        </is>
      </c>
      <c r="B5" s="20" t="n">
        <v>0.2</v>
      </c>
      <c r="C5" s="20" t="n">
        <v>0.86</v>
      </c>
      <c r="D5" s="20" t="n">
        <v>2.04</v>
      </c>
      <c r="E5" s="20" t="n">
        <v>3.61</v>
      </c>
      <c r="F5" s="20" t="n">
        <v>5.1</v>
      </c>
      <c r="G5" s="20" t="n">
        <v>7.3</v>
      </c>
    </row>
    <row r="6">
      <c r="A6" s="18" t="inlineStr">
        <is>
          <t>Revenue (₹ Cr, in-year)</t>
        </is>
      </c>
      <c r="B6" s="21" t="n">
        <v>0.1</v>
      </c>
      <c r="C6" s="21" t="n">
        <v>0.54</v>
      </c>
      <c r="D6" s="21" t="n">
        <v>1.47</v>
      </c>
      <c r="E6" s="21" t="n">
        <v>2.89</v>
      </c>
      <c r="F6" s="21" t="n">
        <v>4.46</v>
      </c>
      <c r="G6" s="21" t="n">
        <v>6.35</v>
      </c>
    </row>
    <row r="7">
      <c r="A7" s="5" t="inlineStr">
        <is>
          <t>Team headcount</t>
        </is>
      </c>
      <c r="B7" s="22" t="n">
        <v>12</v>
      </c>
      <c r="C7" s="22" t="n">
        <v>15</v>
      </c>
      <c r="D7" s="22" t="n">
        <v>18</v>
      </c>
      <c r="E7" s="22" t="n">
        <v>22</v>
      </c>
      <c r="F7" s="22" t="n">
        <v>25</v>
      </c>
      <c r="G7" s="22" t="n">
        <v>30</v>
      </c>
    </row>
    <row r="8">
      <c r="A8" s="18" t="inlineStr">
        <is>
          <t>Team cost (₹ Cr)</t>
        </is>
      </c>
      <c r="B8" s="21" t="n">
        <v>0.95</v>
      </c>
      <c r="C8" s="21" t="n">
        <v>1.35</v>
      </c>
      <c r="D8" s="21" t="n">
        <v>1.73</v>
      </c>
      <c r="E8" s="21" t="n">
        <v>2.24</v>
      </c>
      <c r="F8" s="21" t="n">
        <v>2.7</v>
      </c>
      <c r="G8" s="21" t="n">
        <v>3.42</v>
      </c>
    </row>
    <row r="9">
      <c r="A9" s="5" t="inlineStr">
        <is>
          <t>Marketing (₹ Cr)</t>
        </is>
      </c>
      <c r="B9" s="20" t="n">
        <v>0.2</v>
      </c>
      <c r="C9" s="20" t="n">
        <v>0.3</v>
      </c>
      <c r="D9" s="20" t="n">
        <v>0.4</v>
      </c>
      <c r="E9" s="20" t="n">
        <v>0.5</v>
      </c>
      <c r="F9" s="20" t="n">
        <v>0.55</v>
      </c>
      <c r="G9" s="20" t="n">
        <v>0.6</v>
      </c>
    </row>
    <row r="10">
      <c r="A10" s="18" t="inlineStr">
        <is>
          <t>Infra (₹ Cr)</t>
        </is>
      </c>
      <c r="B10" s="21" t="n">
        <v>0.12</v>
      </c>
      <c r="C10" s="21" t="n">
        <v>0.2</v>
      </c>
      <c r="D10" s="21" t="n">
        <v>0.3</v>
      </c>
      <c r="E10" s="21" t="n">
        <v>0.42</v>
      </c>
      <c r="F10" s="21" t="n">
        <v>0.55</v>
      </c>
      <c r="G10" s="21" t="n">
        <v>0.7</v>
      </c>
    </row>
    <row r="11">
      <c r="A11" s="5" t="inlineStr">
        <is>
          <t>Other opex (₹ Cr)</t>
        </is>
      </c>
      <c r="B11" s="20" t="n">
        <v>0.15</v>
      </c>
      <c r="C11" s="20" t="n">
        <v>0.2</v>
      </c>
      <c r="D11" s="20" t="n">
        <v>0.25</v>
      </c>
      <c r="E11" s="20" t="n">
        <v>0.32</v>
      </c>
      <c r="F11" s="20" t="n">
        <v>0.4</v>
      </c>
      <c r="G11" s="20" t="n">
        <v>0.48</v>
      </c>
    </row>
    <row r="12">
      <c r="A12" s="18" t="inlineStr">
        <is>
          <t>Total cost (₹ Cr)</t>
        </is>
      </c>
      <c r="B12" s="21" t="n">
        <v>1.42</v>
      </c>
      <c r="C12" s="21" t="n">
        <v>2.05</v>
      </c>
      <c r="D12" s="21" t="n">
        <v>2.68</v>
      </c>
      <c r="E12" s="21" t="n">
        <v>3.48</v>
      </c>
      <c r="F12" s="21" t="n">
        <v>4.2</v>
      </c>
      <c r="G12" s="21" t="n">
        <v>5.2</v>
      </c>
    </row>
    <row r="13">
      <c r="A13" s="23" t="inlineStr">
        <is>
          <t>EBITDA (₹ Cr)</t>
        </is>
      </c>
      <c r="B13" s="24" t="n">
        <v>-1.32</v>
      </c>
      <c r="C13" s="24" t="n">
        <v>-1.51</v>
      </c>
      <c r="D13" s="24" t="n">
        <v>-1.2</v>
      </c>
      <c r="E13" s="24" t="n">
        <v>-0.6</v>
      </c>
      <c r="F13" s="25" t="n">
        <v>0.26</v>
      </c>
      <c r="G13" s="25" t="n">
        <v>1.15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0B981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8" t="inlineStr">
        <is>
          <t>Revenue Build — bottom-up from customer count × ARPU</t>
        </is>
      </c>
    </row>
    <row r="3">
      <c r="A3" s="17" t="inlineStr">
        <is>
          <t>Metric</t>
        </is>
      </c>
      <c r="B3" s="17" t="inlineStr">
        <is>
          <t>FY26-27</t>
        </is>
      </c>
      <c r="C3" s="17" t="inlineStr">
        <is>
          <t>FY27-28</t>
        </is>
      </c>
      <c r="D3" s="17" t="inlineStr">
        <is>
          <t>FY28-29</t>
        </is>
      </c>
      <c r="E3" s="17" t="inlineStr">
        <is>
          <t>FY29-30</t>
        </is>
      </c>
      <c r="F3" s="17" t="inlineStr">
        <is>
          <t>FY30-31</t>
        </is>
      </c>
      <c r="G3" s="17" t="inlineStr">
        <is>
          <t>FY31-32</t>
        </is>
      </c>
    </row>
    <row r="4">
      <c r="A4" s="5" t="inlineStr">
        <is>
          <t>Customers at start</t>
        </is>
      </c>
      <c r="B4" s="22" t="n">
        <v>1</v>
      </c>
      <c r="C4" s="22" t="n">
        <v>100</v>
      </c>
      <c r="D4" s="22" t="n">
        <v>400</v>
      </c>
      <c r="E4" s="22" t="n">
        <v>900</v>
      </c>
      <c r="F4" s="22" t="n">
        <v>1500</v>
      </c>
      <c r="G4" s="22" t="n">
        <v>2000</v>
      </c>
    </row>
    <row r="5">
      <c r="A5" s="5" t="inlineStr">
        <is>
          <t>Customers at end</t>
        </is>
      </c>
      <c r="B5" s="22" t="n">
        <v>100</v>
      </c>
      <c r="C5" s="22" t="n">
        <v>400</v>
      </c>
      <c r="D5" s="22" t="n">
        <v>900</v>
      </c>
      <c r="E5" s="22" t="n">
        <v>1500</v>
      </c>
      <c r="F5" s="22" t="n">
        <v>2000</v>
      </c>
      <c r="G5" s="22" t="n">
        <v>2700</v>
      </c>
    </row>
    <row r="6">
      <c r="A6" s="5" t="inlineStr">
        <is>
          <t>Average customers</t>
        </is>
      </c>
      <c r="B6" s="22" t="n">
        <v>50</v>
      </c>
      <c r="C6" s="22" t="n">
        <v>250</v>
      </c>
      <c r="D6" s="22" t="n">
        <v>650</v>
      </c>
      <c r="E6" s="22" t="n">
        <v>1200</v>
      </c>
      <c r="F6" s="22" t="n">
        <v>1750</v>
      </c>
      <c r="G6" s="22" t="n">
        <v>2350</v>
      </c>
    </row>
    <row r="7">
      <c r="A7" s="5" t="inlineStr">
        <is>
          <t>ARPU annual (₹)</t>
        </is>
      </c>
      <c r="B7" s="22" t="n">
        <v>20195</v>
      </c>
      <c r="C7" s="22" t="n">
        <v>21407</v>
      </c>
      <c r="D7" s="22" t="n">
        <v>22692</v>
      </c>
      <c r="E7" s="22" t="n">
        <v>24053</v>
      </c>
      <c r="F7" s="22" t="n">
        <v>25496</v>
      </c>
      <c r="G7" s="22" t="n">
        <v>27026</v>
      </c>
    </row>
    <row r="8">
      <c r="A8" s="5" t="inlineStr">
        <is>
          <t>Revenue (₹ Cr)</t>
        </is>
      </c>
      <c r="B8" s="20" t="n">
        <v>0.1</v>
      </c>
      <c r="C8" s="20" t="n">
        <v>0.54</v>
      </c>
      <c r="D8" s="20" t="n">
        <v>1.47</v>
      </c>
      <c r="E8" s="20" t="n">
        <v>2.89</v>
      </c>
      <c r="F8" s="20" t="n">
        <v>4.46</v>
      </c>
      <c r="G8" s="20" t="n">
        <v>6.35</v>
      </c>
    </row>
    <row r="9">
      <c r="A9" s="5" t="inlineStr">
        <is>
          <t>ARR year-end (₹ Cr)</t>
        </is>
      </c>
      <c r="B9" s="20" t="n">
        <v>0.2</v>
      </c>
      <c r="C9" s="20" t="n">
        <v>0.86</v>
      </c>
      <c r="D9" s="20" t="n">
        <v>2.04</v>
      </c>
      <c r="E9" s="20" t="n">
        <v>3.61</v>
      </c>
      <c r="F9" s="20" t="n">
        <v>5.1</v>
      </c>
      <c r="G9" s="20" t="n">
        <v>7.3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59E0B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8" t="inlineStr">
        <is>
          <t>Cash Flow &amp; Fundraising Tranches (₹ Cr)</t>
        </is>
      </c>
    </row>
    <row r="3">
      <c r="A3" s="17" t="inlineStr">
        <is>
          <t>Metric</t>
        </is>
      </c>
      <c r="B3" s="17" t="inlineStr">
        <is>
          <t>FY26-27</t>
        </is>
      </c>
      <c r="C3" s="17" t="inlineStr">
        <is>
          <t>FY27-28</t>
        </is>
      </c>
      <c r="D3" s="17" t="inlineStr">
        <is>
          <t>FY28-29</t>
        </is>
      </c>
      <c r="E3" s="17" t="inlineStr">
        <is>
          <t>FY29-30</t>
        </is>
      </c>
      <c r="F3" s="17" t="inlineStr">
        <is>
          <t>FY30-31</t>
        </is>
      </c>
      <c r="G3" s="17" t="inlineStr">
        <is>
          <t>FY31-32</t>
        </is>
      </c>
    </row>
    <row r="4">
      <c r="A4" s="5" t="inlineStr">
        <is>
          <t>Opening cash</t>
        </is>
      </c>
      <c r="B4" s="20" t="n">
        <v>0</v>
      </c>
      <c r="C4" s="20" t="n">
        <v>1.18</v>
      </c>
      <c r="D4" s="20" t="n">
        <v>-0.3300000000000001</v>
      </c>
      <c r="E4" s="20" t="n">
        <v>4.47</v>
      </c>
      <c r="F4" s="20" t="n">
        <v>3.87</v>
      </c>
      <c r="G4" s="20" t="n">
        <v>4.13</v>
      </c>
    </row>
    <row r="5">
      <c r="A5" s="5" t="inlineStr">
        <is>
          <t>+ Investment raised</t>
        </is>
      </c>
      <c r="B5" s="20" t="n">
        <v>2.5</v>
      </c>
      <c r="C5" s="20" t="n">
        <v>0</v>
      </c>
      <c r="D5" s="20" t="n">
        <v>6</v>
      </c>
      <c r="E5" s="20" t="n">
        <v>0</v>
      </c>
      <c r="F5" s="20" t="n">
        <v>0</v>
      </c>
      <c r="G5" s="20" t="n">
        <v>0</v>
      </c>
    </row>
    <row r="6">
      <c r="A6" s="5" t="inlineStr">
        <is>
          <t>+ EBITDA (net cash change)</t>
        </is>
      </c>
      <c r="B6" s="20" t="n">
        <v>-1.32</v>
      </c>
      <c r="C6" s="20" t="n">
        <v>-1.51</v>
      </c>
      <c r="D6" s="20" t="n">
        <v>-1.2</v>
      </c>
      <c r="E6" s="20" t="n">
        <v>-0.6</v>
      </c>
      <c r="F6" s="20" t="n">
        <v>0.26</v>
      </c>
      <c r="G6" s="20" t="n">
        <v>1.15</v>
      </c>
    </row>
    <row r="7">
      <c r="A7" s="23">
        <f> Closing cash</f>
        <v/>
      </c>
      <c r="B7" s="26" t="n">
        <v>1.18</v>
      </c>
      <c r="C7" s="26" t="n">
        <v>-0.3300000000000001</v>
      </c>
      <c r="D7" s="26" t="n">
        <v>4.47</v>
      </c>
      <c r="E7" s="26" t="n">
        <v>3.87</v>
      </c>
      <c r="F7" s="26" t="n">
        <v>4.13</v>
      </c>
      <c r="G7" s="26" t="n">
        <v>5.279999999999999</v>
      </c>
    </row>
    <row r="10" ht="32" customHeight="1">
      <c r="A10" s="16" t="inlineStr">
        <is>
          <t>Runway note: Seed ₹2.5 Cr @ Feb 2026 covers Y1 + Y2 burn (₹1.27 + ₹1.55 = ₹2.82 Cr — tight). Consider raising Series A 6 months early (Aug 2027) if Y2 milestones are hit ahead of schedule.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0B981"/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40" customWidth="1" min="3" max="3"/>
  </cols>
  <sheetData>
    <row r="1">
      <c r="A1" s="8" t="inlineStr">
        <is>
          <t>Unit Economics — key SaaS metrics</t>
        </is>
      </c>
    </row>
    <row r="3">
      <c r="A3" s="17" t="inlineStr">
        <is>
          <t>Metric</t>
        </is>
      </c>
      <c r="B3" s="17" t="inlineStr">
        <is>
          <t>Value</t>
        </is>
      </c>
      <c r="C3" s="17" t="inlineStr">
        <is>
          <t>Notes</t>
        </is>
      </c>
    </row>
    <row r="4">
      <c r="A4" s="27" t="inlineStr">
        <is>
          <t>Blended ARPU (monthly)</t>
        </is>
      </c>
      <c r="B4" s="28" t="inlineStr">
        <is>
          <t>₹1,683</t>
        </is>
      </c>
      <c r="C4" s="29" t="inlineStr"/>
    </row>
    <row r="5">
      <c r="A5" s="30" t="inlineStr">
        <is>
          <t>Blended ARPU (annual)</t>
        </is>
      </c>
      <c r="B5" s="31" t="inlineStr">
        <is>
          <t>₹20,195</t>
        </is>
      </c>
      <c r="C5" s="32" t="inlineStr"/>
    </row>
    <row r="6">
      <c r="A6" s="27" t="inlineStr">
        <is>
          <t>Gross margin</t>
        </is>
      </c>
      <c r="B6" s="28" t="inlineStr">
        <is>
          <t>82%</t>
        </is>
      </c>
      <c r="C6" s="29" t="inlineStr">
        <is>
          <t>82% (vertical SaaS)</t>
        </is>
      </c>
    </row>
    <row r="7">
      <c r="A7" s="30" t="inlineStr">
        <is>
          <t>Monthly churn</t>
        </is>
      </c>
      <c r="B7" s="31" t="inlineStr">
        <is>
          <t>2.5%</t>
        </is>
      </c>
      <c r="C7" s="32" t="inlineStr">
        <is>
          <t>SMB SaaS median: 3.5%</t>
        </is>
      </c>
    </row>
    <row r="8">
      <c r="A8" s="27" t="inlineStr">
        <is>
          <t>Customer life</t>
        </is>
      </c>
      <c r="B8" s="28" t="inlineStr">
        <is>
          <t>40.0 months</t>
        </is>
      </c>
      <c r="C8" s="29" t="inlineStr">
        <is>
          <t>≈ 3.3 years</t>
        </is>
      </c>
    </row>
    <row r="9">
      <c r="A9" s="30" t="inlineStr">
        <is>
          <t>LTV</t>
        </is>
      </c>
      <c r="B9" s="31" t="inlineStr">
        <is>
          <t>₹55,201</t>
        </is>
      </c>
      <c r="C9" s="32" t="inlineStr">
        <is>
          <t>ARPU × GM × Life</t>
        </is>
      </c>
    </row>
    <row r="10">
      <c r="A10" s="27" t="inlineStr">
        <is>
          <t>CAC (Y3 blended)</t>
        </is>
      </c>
      <c r="B10" s="28" t="inlineStr">
        <is>
          <t>₹7,000</t>
        </is>
      </c>
      <c r="C10" s="29" t="inlineStr">
        <is>
          <t>Channel + Ads</t>
        </is>
      </c>
    </row>
    <row r="11">
      <c r="A11" s="30" t="inlineStr">
        <is>
          <t>LTV : CAC</t>
        </is>
      </c>
      <c r="B11" s="31" t="inlineStr">
        <is>
          <t>7.9×</t>
        </is>
      </c>
      <c r="C11" s="32" t="inlineStr">
        <is>
          <t>Benchmark 3×</t>
        </is>
      </c>
    </row>
    <row r="12">
      <c r="A12" s="27" t="inlineStr">
        <is>
          <t>Payback (months)</t>
        </is>
      </c>
      <c r="B12" s="28" t="inlineStr">
        <is>
          <t>5.1</t>
        </is>
      </c>
      <c r="C12" s="29" t="inlineStr">
        <is>
          <t>Benchmark 12-18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563EB"/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42" customWidth="1" min="5" max="5"/>
  </cols>
  <sheetData>
    <row r="1">
      <c r="A1" s="8" t="inlineStr">
        <is>
          <t>Cap Table Evolution — Founders / Seed / Series A</t>
        </is>
      </c>
    </row>
    <row r="3">
      <c r="A3" s="17" t="inlineStr">
        <is>
          <t>Shareholder</t>
        </is>
      </c>
      <c r="B3" s="17" t="inlineStr">
        <is>
          <t>Pre-Seed</t>
        </is>
      </c>
      <c r="C3" s="17" t="inlineStr">
        <is>
          <t>Post-Seed</t>
        </is>
      </c>
      <c r="D3" s="17" t="inlineStr">
        <is>
          <t>Post-Series A</t>
        </is>
      </c>
      <c r="E3" s="17" t="inlineStr">
        <is>
          <t>Notes</t>
        </is>
      </c>
    </row>
    <row r="4">
      <c r="A4" s="18" t="inlineStr">
        <is>
          <t>Founders (Ankit / Punit / Kritika)</t>
        </is>
      </c>
      <c r="B4" s="33" t="n">
        <v>1</v>
      </c>
      <c r="C4" s="33" t="n">
        <v>0.7380000000000001</v>
      </c>
      <c r="D4" s="33" t="n">
        <v>0.6051600000000001</v>
      </c>
      <c r="E4" s="29" t="inlineStr">
        <is>
          <t>Diluted from 100% → ~65% by Y5</t>
        </is>
      </c>
    </row>
    <row r="5">
      <c r="A5" s="5" t="inlineStr">
        <is>
          <t>ESOP pool</t>
        </is>
      </c>
      <c r="B5" s="34" t="n">
        <v>0</v>
      </c>
      <c r="C5" s="34" t="n">
        <v>0.08200000000000002</v>
      </c>
      <c r="D5" s="34" t="n">
        <v>0.06724000000000002</v>
      </c>
      <c r="E5" s="32" t="inlineStr">
        <is>
          <t>10% created pre-Seed, top-up at Series A</t>
        </is>
      </c>
    </row>
    <row r="6">
      <c r="A6" s="18" t="inlineStr">
        <is>
          <t>Seed investors</t>
        </is>
      </c>
      <c r="B6" s="33" t="n">
        <v>0</v>
      </c>
      <c r="C6" s="33" t="n">
        <v>0.18</v>
      </c>
      <c r="D6" s="33" t="n">
        <v>0.1476</v>
      </c>
      <c r="E6" s="29" t="inlineStr">
        <is>
          <t>₹2.5 Cr at ₹11.4 Cr pre-money</t>
        </is>
      </c>
    </row>
    <row r="7">
      <c r="A7" s="5" t="inlineStr">
        <is>
          <t>Series A investors</t>
        </is>
      </c>
      <c r="B7" s="34" t="n">
        <v>0</v>
      </c>
      <c r="C7" s="34" t="n">
        <v>0</v>
      </c>
      <c r="D7" s="34" t="n">
        <v>0.18</v>
      </c>
      <c r="E7" s="32" t="inlineStr">
        <is>
          <t>₹6.0 Cr at ₹27 Cr pre-money</t>
        </is>
      </c>
    </row>
    <row r="8">
      <c r="A8" s="35" t="inlineStr">
        <is>
          <t>TOTAL</t>
        </is>
      </c>
      <c r="B8" s="36" t="n">
        <v>1</v>
      </c>
      <c r="C8" s="36" t="n">
        <v>1</v>
      </c>
      <c r="D8" s="36" t="n">
        <v>1</v>
      </c>
      <c r="E8" s="37" t="n"/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59E0B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Exit Scenarios &amp; Investor Returns</t>
        </is>
      </c>
    </row>
    <row r="3">
      <c r="A3" s="17" t="inlineStr">
        <is>
          <t>Scenario</t>
        </is>
      </c>
      <c r="B3" s="17" t="inlineStr">
        <is>
          <t>× Multiple</t>
        </is>
      </c>
      <c r="C3" s="17" t="inlineStr">
        <is>
          <t>ARR (₹ Cr)</t>
        </is>
      </c>
      <c r="D3" s="17" t="inlineStr">
        <is>
          <t>EV (₹ Cr)</t>
        </is>
      </c>
      <c r="E3" s="17" t="inlineStr">
        <is>
          <t>Seed return (× money)</t>
        </is>
      </c>
      <c r="F3" s="17" t="inlineStr">
        <is>
          <t>Series A return (× money)</t>
        </is>
      </c>
    </row>
    <row r="4">
      <c r="A4" s="38" t="inlineStr">
        <is>
          <t>Conservative</t>
        </is>
      </c>
      <c r="B4" s="39" t="n">
        <v>5</v>
      </c>
      <c r="C4" s="40" t="n">
        <v>5.1</v>
      </c>
      <c r="D4" s="40" t="n">
        <v>25.5</v>
      </c>
      <c r="E4" s="41" t="n">
        <v>1.50552</v>
      </c>
      <c r="F4" s="41" t="n">
        <v>0.765</v>
      </c>
    </row>
    <row r="5">
      <c r="A5" s="42" t="inlineStr">
        <is>
          <t>Base case</t>
        </is>
      </c>
      <c r="B5" s="43" t="n">
        <v>7</v>
      </c>
      <c r="C5" s="44" t="n">
        <v>5.1</v>
      </c>
      <c r="D5" s="44" t="n">
        <v>35.7</v>
      </c>
      <c r="E5" s="45" t="n">
        <v>2.107728</v>
      </c>
      <c r="F5" s="45" t="n">
        <v>1.071</v>
      </c>
    </row>
    <row r="6">
      <c r="A6" s="38" t="inlineStr">
        <is>
          <t>Optimistic</t>
        </is>
      </c>
      <c r="B6" s="39" t="n">
        <v>10</v>
      </c>
      <c r="C6" s="40" t="n">
        <v>7.3</v>
      </c>
      <c r="D6" s="40" t="n">
        <v>73</v>
      </c>
      <c r="E6" s="41" t="n">
        <v>4.30992</v>
      </c>
      <c r="F6" s="41" t="n">
        <v>2.19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2026-07-08T16:10:14Z</dcterms:created>
  <dcterms:modified xmlns:dcterms="http://purl.org/dc/terms/" xmlns:xsi="http://www.w3.org/2001/XMLSchema-instance" xsi:type="dcterms:W3CDTF">2026-07-08T16:10:14Z</dcterms:modified>
</cp:coreProperties>
</file>